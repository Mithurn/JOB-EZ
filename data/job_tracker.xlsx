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Statistic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3" borderId="0" applyAlignment="1" pivotButton="0" quotePrefix="0" xfId="0">
      <alignment horizont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30" customWidth="1" min="3" max="3"/>
    <col width="25" customWidth="1" min="4" max="4"/>
    <col width="12" customWidth="1" min="5" max="5"/>
    <col width="20" customWidth="1" min="6" max="6"/>
    <col width="20" customWidth="1" min="7" max="7"/>
    <col width="12" customWidth="1" min="8" max="8"/>
    <col width="12" customWidth="1" min="9" max="9"/>
    <col width="12" customWidth="1" min="10" max="10"/>
    <col width="40" customWidth="1" min="11" max="11"/>
    <col width="40" customWidth="1" min="12" max="1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Platform</t>
        </is>
      </c>
      <c r="F1" s="1" t="inlineStr">
        <is>
          <t>Location</t>
        </is>
      </c>
      <c r="G1" s="1" t="inlineStr">
        <is>
          <t>Resume Used</t>
        </is>
      </c>
      <c r="H1" s="1" t="inlineStr">
        <is>
          <t>Match Score</t>
        </is>
      </c>
      <c r="I1" s="1" t="inlineStr">
        <is>
          <t>Confidence</t>
        </is>
      </c>
      <c r="J1" s="1" t="inlineStr">
        <is>
          <t>Status</t>
        </is>
      </c>
      <c r="K1" s="1" t="inlineStr">
        <is>
          <t>Application URL</t>
        </is>
      </c>
      <c r="L1" s="1" t="inlineStr">
        <is>
          <t>Notes</t>
        </is>
      </c>
    </row>
    <row r="2">
      <c r="A2" t="inlineStr">
        <is>
          <t>2025-12-12</t>
        </is>
      </c>
      <c r="B2" t="inlineStr">
        <is>
          <t>04:00:17</t>
        </is>
      </c>
      <c r="C2" t="inlineStr">
        <is>
          <t>Unknown</t>
        </is>
      </c>
      <c r="D2" t="inlineStr">
        <is>
          <t>Unknown</t>
        </is>
      </c>
      <c r="E2" t="inlineStr">
        <is>
          <t>LinkedIn</t>
        </is>
      </c>
      <c r="F2" t="inlineStr">
        <is>
          <t>India</t>
        </is>
      </c>
      <c r="G2" t="inlineStr">
        <is>
          <t>resume_fullstack.pdf</t>
        </is>
      </c>
      <c r="H2" t="n">
        <v>95</v>
      </c>
      <c r="I2" t="inlineStr">
        <is>
          <t>95%</t>
        </is>
      </c>
      <c r="J2" s="6" t="inlineStr">
        <is>
          <t>Success</t>
        </is>
      </c>
      <c r="K2" t="inlineStr">
        <is>
          <t>https://www.linkedin.com/jobs/view/4326911995/</t>
        </is>
      </c>
      <c r="L2" t="inlineStr">
        <is>
          <t>DRY_RUN</t>
        </is>
      </c>
    </row>
    <row r="3">
      <c r="A3" t="inlineStr">
        <is>
          <t>2025-12-12</t>
        </is>
      </c>
      <c r="B3" t="inlineStr">
        <is>
          <t>04:01:30</t>
        </is>
      </c>
      <c r="C3" t="inlineStr">
        <is>
          <t>Unknown</t>
        </is>
      </c>
      <c r="D3" t="inlineStr">
        <is>
          <t>Unknown</t>
        </is>
      </c>
      <c r="E3" t="inlineStr">
        <is>
          <t>LinkedIn</t>
        </is>
      </c>
      <c r="F3" t="inlineStr">
        <is>
          <t>India</t>
        </is>
      </c>
      <c r="G3" t="inlineStr">
        <is>
          <t>resume_fullstack.pdf</t>
        </is>
      </c>
      <c r="H3" t="n">
        <v>60</v>
      </c>
      <c r="I3" t="inlineStr">
        <is>
          <t>60%</t>
        </is>
      </c>
      <c r="J3" s="6" t="inlineStr">
        <is>
          <t>Success</t>
        </is>
      </c>
      <c r="K3" t="inlineStr">
        <is>
          <t>https://www.linkedin.com/jobs/view/4342889354/</t>
        </is>
      </c>
      <c r="L3" t="inlineStr">
        <is>
          <t>DRY_RUN</t>
        </is>
      </c>
    </row>
    <row r="4">
      <c r="A4" t="inlineStr">
        <is>
          <t>2025-12-12</t>
        </is>
      </c>
      <c r="B4" t="inlineStr">
        <is>
          <t>04:02:55</t>
        </is>
      </c>
      <c r="C4" t="inlineStr">
        <is>
          <t>Unknown</t>
        </is>
      </c>
      <c r="D4" t="inlineStr">
        <is>
          <t>Unknown</t>
        </is>
      </c>
      <c r="E4" t="inlineStr">
        <is>
          <t>LinkedIn</t>
        </is>
      </c>
      <c r="F4" t="inlineStr">
        <is>
          <t>India</t>
        </is>
      </c>
      <c r="G4" t="inlineStr">
        <is>
          <t>resume_fullstack.pdf</t>
        </is>
      </c>
      <c r="H4" t="n">
        <v>70</v>
      </c>
      <c r="I4" t="inlineStr">
        <is>
          <t>40%</t>
        </is>
      </c>
      <c r="J4" s="6" t="inlineStr">
        <is>
          <t>Success</t>
        </is>
      </c>
      <c r="K4" t="inlineStr">
        <is>
          <t>https://www.linkedin.com/jobs/view/4348476461/</t>
        </is>
      </c>
      <c r="L4" t="inlineStr">
        <is>
          <t>DRY_RUN</t>
        </is>
      </c>
    </row>
    <row r="5">
      <c r="A5" t="inlineStr">
        <is>
          <t>2025-12-12</t>
        </is>
      </c>
      <c r="B5" t="inlineStr">
        <is>
          <t>04:03:54</t>
        </is>
      </c>
      <c r="C5" t="inlineStr">
        <is>
          <t>Unknown</t>
        </is>
      </c>
      <c r="D5" t="inlineStr">
        <is>
          <t>Unknown</t>
        </is>
      </c>
      <c r="E5" t="inlineStr">
        <is>
          <t>LinkedIn</t>
        </is>
      </c>
      <c r="F5" t="inlineStr">
        <is>
          <t>India</t>
        </is>
      </c>
      <c r="G5" t="inlineStr">
        <is>
          <t>resume_fullstack.pdf</t>
        </is>
      </c>
      <c r="H5" t="n">
        <v>75</v>
      </c>
      <c r="I5" t="inlineStr">
        <is>
          <t>75%</t>
        </is>
      </c>
      <c r="J5" s="6" t="inlineStr">
        <is>
          <t>Success</t>
        </is>
      </c>
      <c r="K5" t="inlineStr">
        <is>
          <t>https://www.linkedin.com/jobs/view/4343020263/</t>
        </is>
      </c>
      <c r="L5" t="inlineStr">
        <is>
          <t>DRY_RUN</t>
        </is>
      </c>
    </row>
    <row r="6">
      <c r="A6" t="inlineStr">
        <is>
          <t>2025-12-12</t>
        </is>
      </c>
      <c r="B6" t="inlineStr">
        <is>
          <t>04:04:33</t>
        </is>
      </c>
      <c r="C6" t="inlineStr">
        <is>
          <t>Unknown</t>
        </is>
      </c>
      <c r="D6" t="inlineStr">
        <is>
          <t>Unknown</t>
        </is>
      </c>
      <c r="E6" t="inlineStr">
        <is>
          <t>LinkedIn</t>
        </is>
      </c>
      <c r="F6" t="inlineStr">
        <is>
          <t>India</t>
        </is>
      </c>
      <c r="G6" t="inlineStr">
        <is>
          <t>resume_fullstack.pdf</t>
        </is>
      </c>
      <c r="H6" t="n">
        <v>50</v>
      </c>
      <c r="I6" t="inlineStr">
        <is>
          <t>50%</t>
        </is>
      </c>
      <c r="J6" s="6" t="inlineStr">
        <is>
          <t>Success</t>
        </is>
      </c>
      <c r="K6" t="inlineStr">
        <is>
          <t>https://www.linkedin.com/jobs/view/4326704978/</t>
        </is>
      </c>
      <c r="L6" t="inlineStr">
        <is>
          <t>DRY_RUN</t>
        </is>
      </c>
    </row>
    <row r="7">
      <c r="A7" t="inlineStr">
        <is>
          <t>2025-12-12</t>
        </is>
      </c>
      <c r="B7" t="inlineStr">
        <is>
          <t>04:09:46</t>
        </is>
      </c>
      <c r="C7" t="inlineStr">
        <is>
          <t>Unknown</t>
        </is>
      </c>
      <c r="D7" t="inlineStr">
        <is>
          <t>Unknown</t>
        </is>
      </c>
      <c r="E7" t="inlineStr">
        <is>
          <t>LinkedIn</t>
        </is>
      </c>
      <c r="F7" t="inlineStr">
        <is>
          <t>India</t>
        </is>
      </c>
      <c r="G7" t="inlineStr">
        <is>
          <t>resume_fullstack.pdf</t>
        </is>
      </c>
      <c r="H7" t="n">
        <v>0</v>
      </c>
      <c r="I7" t="inlineStr">
        <is>
          <t>100%</t>
        </is>
      </c>
      <c r="J7" s="6" t="inlineStr">
        <is>
          <t>Success</t>
        </is>
      </c>
      <c r="K7" t="inlineStr">
        <is>
          <t>https://www.linkedin.com/jobs/view/4326911995/</t>
        </is>
      </c>
      <c r="L7" t="inlineStr">
        <is>
          <t>DRY_RUN</t>
        </is>
      </c>
    </row>
    <row r="8">
      <c r="A8" t="inlineStr">
        <is>
          <t>2025-12-12</t>
        </is>
      </c>
      <c r="B8" t="inlineStr">
        <is>
          <t>04:11:12</t>
        </is>
      </c>
      <c r="C8" t="inlineStr">
        <is>
          <t>Unknown</t>
        </is>
      </c>
      <c r="D8" t="inlineStr">
        <is>
          <t>Unknown</t>
        </is>
      </c>
      <c r="E8" t="inlineStr">
        <is>
          <t>LinkedIn</t>
        </is>
      </c>
      <c r="F8" t="inlineStr">
        <is>
          <t>India</t>
        </is>
      </c>
      <c r="G8" t="inlineStr">
        <is>
          <t>resume_fullstack.pdf</t>
        </is>
      </c>
      <c r="H8" t="n">
        <v>0</v>
      </c>
      <c r="I8" t="inlineStr">
        <is>
          <t>100%</t>
        </is>
      </c>
      <c r="J8" s="6" t="inlineStr">
        <is>
          <t>Success</t>
        </is>
      </c>
      <c r="K8" t="inlineStr">
        <is>
          <t>https://www.linkedin.com/jobs/view/4342889354/</t>
        </is>
      </c>
      <c r="L8" t="inlineStr">
        <is>
          <t>DRY_RUN</t>
        </is>
      </c>
    </row>
    <row r="9">
      <c r="A9" t="inlineStr">
        <is>
          <t>2025-12-12</t>
        </is>
      </c>
      <c r="B9" t="inlineStr">
        <is>
          <t>04:12:44</t>
        </is>
      </c>
      <c r="C9" t="inlineStr">
        <is>
          <t>Unknown</t>
        </is>
      </c>
      <c r="D9" t="inlineStr">
        <is>
          <t>Unknown</t>
        </is>
      </c>
      <c r="E9" t="inlineStr">
        <is>
          <t>LinkedIn</t>
        </is>
      </c>
      <c r="F9" t="inlineStr">
        <is>
          <t>India</t>
        </is>
      </c>
      <c r="G9" t="inlineStr">
        <is>
          <t>resume_fullstack.pdf</t>
        </is>
      </c>
      <c r="H9" t="n">
        <v>0</v>
      </c>
      <c r="I9" t="inlineStr">
        <is>
          <t>100%</t>
        </is>
      </c>
      <c r="J9" s="6" t="inlineStr">
        <is>
          <t>Success</t>
        </is>
      </c>
      <c r="K9" t="inlineStr">
        <is>
          <t>https://www.linkedin.com/jobs/view/4348476461/</t>
        </is>
      </c>
      <c r="L9" t="inlineStr">
        <is>
          <t>DRY_RUN</t>
        </is>
      </c>
    </row>
    <row r="10">
      <c r="A10" t="inlineStr">
        <is>
          <t>2025-12-12</t>
        </is>
      </c>
      <c r="B10" t="inlineStr">
        <is>
          <t>04:18:25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LinkedIn</t>
        </is>
      </c>
      <c r="F10" t="inlineStr">
        <is>
          <t>India</t>
        </is>
      </c>
      <c r="G10" t="inlineStr">
        <is>
          <t>resume_fullstack.pdf</t>
        </is>
      </c>
      <c r="H10" t="n">
        <v>0</v>
      </c>
      <c r="I10" t="inlineStr">
        <is>
          <t>100%</t>
        </is>
      </c>
      <c r="J10" s="6" t="inlineStr">
        <is>
          <t>Success</t>
        </is>
      </c>
      <c r="K10" t="inlineStr">
        <is>
          <t>https://www.linkedin.com/jobs/view/4342889354/</t>
        </is>
      </c>
      <c r="L10" t="inlineStr">
        <is>
          <t>Skipped</t>
        </is>
      </c>
    </row>
    <row r="11">
      <c r="A11" t="inlineStr">
        <is>
          <t>2025-12-12</t>
        </is>
      </c>
      <c r="B11" t="inlineStr">
        <is>
          <t>04:19:57</t>
        </is>
      </c>
      <c r="C11" t="inlineStr">
        <is>
          <t>Unknown</t>
        </is>
      </c>
      <c r="D11" t="inlineStr">
        <is>
          <t>Unknown</t>
        </is>
      </c>
      <c r="E11" t="inlineStr">
        <is>
          <t>LinkedIn</t>
        </is>
      </c>
      <c r="F11" t="inlineStr">
        <is>
          <t>India</t>
        </is>
      </c>
      <c r="G11" t="inlineStr">
        <is>
          <t>resume_fullstack.pdf</t>
        </is>
      </c>
      <c r="H11" t="n">
        <v>0</v>
      </c>
      <c r="I11" t="inlineStr">
        <is>
          <t>100%</t>
        </is>
      </c>
      <c r="J11" s="6" t="inlineStr">
        <is>
          <t>Success</t>
        </is>
      </c>
      <c r="K11" t="inlineStr">
        <is>
          <t>https://www.linkedin.com/jobs/view/4348476461/</t>
        </is>
      </c>
      <c r="L11" t="inlineStr">
        <is>
          <t>Skipped</t>
        </is>
      </c>
    </row>
    <row r="12">
      <c r="A12" t="inlineStr">
        <is>
          <t>2025-12-12</t>
        </is>
      </c>
      <c r="B12" t="inlineStr">
        <is>
          <t>04:21:20</t>
        </is>
      </c>
      <c r="C12" t="inlineStr">
        <is>
          <t>Unknown</t>
        </is>
      </c>
      <c r="D12" t="inlineStr">
        <is>
          <t>Unknown</t>
        </is>
      </c>
      <c r="E12" t="inlineStr">
        <is>
          <t>LinkedIn</t>
        </is>
      </c>
      <c r="F12" t="inlineStr">
        <is>
          <t>India</t>
        </is>
      </c>
      <c r="G12" t="inlineStr">
        <is>
          <t>resume_fullstack.pdf</t>
        </is>
      </c>
      <c r="H12" t="n">
        <v>0</v>
      </c>
      <c r="I12" t="inlineStr">
        <is>
          <t>100%</t>
        </is>
      </c>
      <c r="J12" s="6" t="inlineStr">
        <is>
          <t>Success</t>
        </is>
      </c>
      <c r="K12" t="inlineStr">
        <is>
          <t>https://www.linkedin.com/jobs/view/4343020263/</t>
        </is>
      </c>
      <c r="L12" t="inlineStr">
        <is>
          <t>Skipped</t>
        </is>
      </c>
    </row>
    <row r="13">
      <c r="A13" t="inlineStr">
        <is>
          <t>2025-12-12</t>
        </is>
      </c>
      <c r="B13" t="inlineStr">
        <is>
          <t>04:23:06</t>
        </is>
      </c>
      <c r="C13" t="inlineStr">
        <is>
          <t>Unknown</t>
        </is>
      </c>
      <c r="D13" t="inlineStr">
        <is>
          <t>Unknown</t>
        </is>
      </c>
      <c r="E13" t="inlineStr">
        <is>
          <t>LinkedIn</t>
        </is>
      </c>
      <c r="F13" t="inlineStr">
        <is>
          <t>India</t>
        </is>
      </c>
      <c r="G13" t="inlineStr">
        <is>
          <t>resume_fullstack.pdf</t>
        </is>
      </c>
      <c r="H13" t="n">
        <v>0</v>
      </c>
      <c r="I13" t="inlineStr">
        <is>
          <t>100%</t>
        </is>
      </c>
      <c r="J13" s="6" t="inlineStr">
        <is>
          <t>Success</t>
        </is>
      </c>
      <c r="K13" t="inlineStr">
        <is>
          <t>https://www.linkedin.com/jobs/view/4342889354/</t>
        </is>
      </c>
      <c r="L13" t="inlineStr">
        <is>
          <t>Skipped</t>
        </is>
      </c>
    </row>
    <row r="14">
      <c r="A14" t="inlineStr">
        <is>
          <t>2025-12-12</t>
        </is>
      </c>
      <c r="B14" t="inlineStr">
        <is>
          <t>04:25:47</t>
        </is>
      </c>
      <c r="C14" t="inlineStr">
        <is>
          <t>Unknown</t>
        </is>
      </c>
      <c r="D14" t="inlineStr">
        <is>
          <t>Unknown</t>
        </is>
      </c>
      <c r="E14" t="inlineStr">
        <is>
          <t>LinkedIn</t>
        </is>
      </c>
      <c r="F14" t="inlineStr">
        <is>
          <t>India</t>
        </is>
      </c>
      <c r="G14" t="inlineStr">
        <is>
          <t>resume_fullstack.pdf</t>
        </is>
      </c>
      <c r="H14" t="n">
        <v>0</v>
      </c>
      <c r="I14" t="inlineStr">
        <is>
          <t>100%</t>
        </is>
      </c>
      <c r="J14" s="6" t="inlineStr">
        <is>
          <t>Success</t>
        </is>
      </c>
      <c r="K14" t="inlineStr">
        <is>
          <t>https://www.linkedin.com/jobs/view/4342889354/</t>
        </is>
      </c>
      <c r="L14" t="inlineStr">
        <is>
          <t>Skipped</t>
        </is>
      </c>
    </row>
    <row r="15">
      <c r="A15" t="inlineStr">
        <is>
          <t>2025-12-12</t>
        </is>
      </c>
      <c r="B15" t="inlineStr">
        <is>
          <t>04:27:49</t>
        </is>
      </c>
      <c r="C15" t="inlineStr">
        <is>
          <t>Unknown</t>
        </is>
      </c>
      <c r="D15" t="inlineStr">
        <is>
          <t>Unknown</t>
        </is>
      </c>
      <c r="E15" t="inlineStr">
        <is>
          <t>LinkedIn</t>
        </is>
      </c>
      <c r="F15" t="inlineStr">
        <is>
          <t>India</t>
        </is>
      </c>
      <c r="G15" t="inlineStr">
        <is>
          <t>resume_fullstack.pdf</t>
        </is>
      </c>
      <c r="H15" t="n">
        <v>0</v>
      </c>
      <c r="I15" t="inlineStr">
        <is>
          <t>100%</t>
        </is>
      </c>
      <c r="J15" s="6" t="inlineStr">
        <is>
          <t>Success</t>
        </is>
      </c>
      <c r="K15" t="inlineStr">
        <is>
          <t>https://www.linkedin.com/jobs/view/4348476461/</t>
        </is>
      </c>
      <c r="L15" t="inlineStr">
        <is>
          <t>Skipped</t>
        </is>
      </c>
    </row>
    <row r="16">
      <c r="A16" t="inlineStr">
        <is>
          <t>2025-12-12</t>
        </is>
      </c>
      <c r="B16" t="inlineStr">
        <is>
          <t>04:29:11</t>
        </is>
      </c>
      <c r="C16" t="inlineStr">
        <is>
          <t>Unknown</t>
        </is>
      </c>
      <c r="D16" t="inlineStr">
        <is>
          <t>Unknown</t>
        </is>
      </c>
      <c r="E16" t="inlineStr">
        <is>
          <t>LinkedIn</t>
        </is>
      </c>
      <c r="F16" t="inlineStr">
        <is>
          <t>India</t>
        </is>
      </c>
      <c r="G16" t="inlineStr">
        <is>
          <t>resume_fullstack.pdf</t>
        </is>
      </c>
      <c r="H16" t="n">
        <v>0</v>
      </c>
      <c r="I16" t="inlineStr">
        <is>
          <t>100%</t>
        </is>
      </c>
      <c r="J16" s="6" t="inlineStr">
        <is>
          <t>Success</t>
        </is>
      </c>
      <c r="K16" t="inlineStr">
        <is>
          <t>https://www.linkedin.com/jobs/view/4343020263/</t>
        </is>
      </c>
      <c r="L16" t="inlineStr">
        <is>
          <t>Skipped</t>
        </is>
      </c>
    </row>
    <row r="17">
      <c r="A17" t="inlineStr">
        <is>
          <t>2025-12-12</t>
        </is>
      </c>
      <c r="B17" t="inlineStr">
        <is>
          <t>04:30:24</t>
        </is>
      </c>
      <c r="C17" t="inlineStr">
        <is>
          <t>Unknown</t>
        </is>
      </c>
      <c r="D17" t="inlineStr">
        <is>
          <t>Unknown</t>
        </is>
      </c>
      <c r="E17" t="inlineStr">
        <is>
          <t>LinkedIn</t>
        </is>
      </c>
      <c r="F17" t="inlineStr">
        <is>
          <t>India</t>
        </is>
      </c>
      <c r="G17" t="inlineStr">
        <is>
          <t>resume_fullstack.pdf</t>
        </is>
      </c>
      <c r="H17" t="n">
        <v>0</v>
      </c>
      <c r="I17" t="inlineStr">
        <is>
          <t>100%</t>
        </is>
      </c>
      <c r="J17" s="6" t="inlineStr">
        <is>
          <t>Success</t>
        </is>
      </c>
      <c r="K17" t="inlineStr">
        <is>
          <t>https://www.linkedin.com/jobs/view/4349453936/</t>
        </is>
      </c>
      <c r="L17" t="inlineStr">
        <is>
          <t>Skipped</t>
        </is>
      </c>
    </row>
    <row r="18">
      <c r="A18" t="inlineStr">
        <is>
          <t>2025-12-12</t>
        </is>
      </c>
      <c r="B18" t="inlineStr">
        <is>
          <t>04:32:12</t>
        </is>
      </c>
      <c r="C18" t="inlineStr">
        <is>
          <t>Unknown</t>
        </is>
      </c>
      <c r="D18" t="inlineStr">
        <is>
          <t>Unknown</t>
        </is>
      </c>
      <c r="E18" t="inlineStr">
        <is>
          <t>LinkedIn</t>
        </is>
      </c>
      <c r="F18" t="inlineStr">
        <is>
          <t>India</t>
        </is>
      </c>
      <c r="G18" t="inlineStr">
        <is>
          <t>resume_fullstack.pdf</t>
        </is>
      </c>
      <c r="H18" t="n">
        <v>0</v>
      </c>
      <c r="I18" t="inlineStr">
        <is>
          <t>100%</t>
        </is>
      </c>
      <c r="J18" s="6" t="inlineStr">
        <is>
          <t>Success</t>
        </is>
      </c>
      <c r="K18" t="inlineStr">
        <is>
          <t>https://www.linkedin.com/jobs/view/4326704978/</t>
        </is>
      </c>
      <c r="L18" t="inlineStr">
        <is>
          <t>Skipped</t>
        </is>
      </c>
    </row>
    <row r="19">
      <c r="A19" t="inlineStr">
        <is>
          <t>2025-12-12</t>
        </is>
      </c>
      <c r="B19" t="inlineStr">
        <is>
          <t>04:35:00</t>
        </is>
      </c>
      <c r="C19" t="inlineStr">
        <is>
          <t>Unknown</t>
        </is>
      </c>
      <c r="D19" t="inlineStr">
        <is>
          <t>Unknown</t>
        </is>
      </c>
      <c r="E19" t="inlineStr">
        <is>
          <t>LinkedIn</t>
        </is>
      </c>
      <c r="F19" t="inlineStr">
        <is>
          <t>India</t>
        </is>
      </c>
      <c r="G19" t="inlineStr">
        <is>
          <t>resume_fullstack.pdf</t>
        </is>
      </c>
      <c r="H19" t="n">
        <v>0</v>
      </c>
      <c r="I19" t="inlineStr">
        <is>
          <t>100%</t>
        </is>
      </c>
      <c r="J19" s="6" t="inlineStr">
        <is>
          <t>Success</t>
        </is>
      </c>
      <c r="K19" t="inlineStr">
        <is>
          <t>https://www.linkedin.com/jobs/view/4326911995/</t>
        </is>
      </c>
      <c r="L19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5" customWidth="1" min="2" max="2"/>
  </cols>
  <sheetData>
    <row r="1">
      <c r="A1" s="2" t="inlineStr"/>
    </row>
    <row r="2">
      <c r="A2" s="3" t="inlineStr">
        <is>
          <t>Total Applications</t>
        </is>
      </c>
      <c r="B2">
        <f>COUNTA(Applications!A:A)-1</f>
        <v/>
      </c>
    </row>
    <row r="3">
      <c r="A3" t="inlineStr">
        <is>
          <t>Successful</t>
        </is>
      </c>
      <c r="B3">
        <f>COUNTIF(Applications!J:J,"Success")</f>
        <v/>
      </c>
    </row>
    <row r="4">
      <c r="A4" t="inlineStr">
        <is>
          <t>Failed</t>
        </is>
      </c>
      <c r="B4">
        <f>COUNTIF(Applications!J:J,"Failed")</f>
        <v/>
      </c>
    </row>
    <row r="5">
      <c r="A5" t="inlineStr">
        <is>
          <t>Pending</t>
        </is>
      </c>
      <c r="B5">
        <f>COUNTIF(Applications!J:J,"Pending")</f>
        <v/>
      </c>
    </row>
    <row r="6">
      <c r="A6" t="inlineStr">
        <is>
          <t>Success Rate</t>
        </is>
      </c>
      <c r="B6" s="4">
        <f>IF(B3&gt;0,B4/B3,0)</f>
        <v/>
      </c>
    </row>
    <row r="8">
      <c r="A8" s="3" t="inlineStr">
        <is>
          <t>By Platform:</t>
        </is>
      </c>
    </row>
    <row r="9">
      <c r="A9" t="inlineStr">
        <is>
          <t>LinkedIn</t>
        </is>
      </c>
      <c r="B9">
        <f>COUNTIF(Applications!E:E,"LinkedIn")</f>
        <v/>
      </c>
    </row>
    <row r="10">
      <c r="A10" t="inlineStr">
        <is>
          <t>Indeed</t>
        </is>
      </c>
      <c r="B10">
        <f>COUNTIF(Applications!E:E,"Indeed")</f>
        <v/>
      </c>
    </row>
    <row r="11">
      <c r="A11" t="inlineStr">
        <is>
          <t>Glassdoor</t>
        </is>
      </c>
      <c r="B11">
        <f>COUNTIF(Applications!E:E,"Glassdoor")</f>
        <v/>
      </c>
    </row>
    <row r="12">
      <c r="A12" t="inlineStr">
        <is>
          <t>Other</t>
        </is>
      </c>
      <c r="B12">
        <f>B3-B9-B10-B11</f>
        <v/>
      </c>
    </row>
    <row r="14">
      <c r="A14" s="3" t="inlineStr">
        <is>
          <t>By Resume: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5" t="inlineStr">
        <is>
          <t>Date</t>
        </is>
      </c>
      <c r="B1" s="5" t="inlineStr">
        <is>
          <t>Applications</t>
        </is>
      </c>
      <c r="C1" s="5" t="inlineStr">
        <is>
          <t>Success</t>
        </is>
      </c>
      <c r="D1" s="5" t="inlineStr">
        <is>
          <t>Failed</t>
        </is>
      </c>
      <c r="E1" s="5" t="inlineStr">
        <is>
          <t>Success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2025-12-11T22:21:44Z</dcterms:created>
  <dcterms:modified xsi:type="dcterms:W3CDTF">2025-12-11T23:05:42Z</dcterms:modified>
</cp:coreProperties>
</file>