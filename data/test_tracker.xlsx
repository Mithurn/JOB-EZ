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Statistic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4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30" customWidth="1" min="3" max="3"/>
    <col width="25" customWidth="1" min="4" max="4"/>
    <col width="12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Platform</t>
        </is>
      </c>
      <c r="F1" s="1" t="inlineStr">
        <is>
          <t>Location</t>
        </is>
      </c>
      <c r="G1" s="1" t="inlineStr">
        <is>
          <t>Resume Used</t>
        </is>
      </c>
      <c r="H1" s="1" t="inlineStr">
        <is>
          <t>Match Score</t>
        </is>
      </c>
      <c r="I1" s="1" t="inlineStr">
        <is>
          <t>Confidence</t>
        </is>
      </c>
      <c r="J1" s="1" t="inlineStr">
        <is>
          <t>Status</t>
        </is>
      </c>
      <c r="K1" s="1" t="inlineStr">
        <is>
          <t>Application URL</t>
        </is>
      </c>
      <c r="L1" s="1" t="inlineStr">
        <is>
          <t>Notes</t>
        </is>
      </c>
    </row>
    <row r="2">
      <c r="A2" t="inlineStr">
        <is>
          <t>2025-12-12</t>
        </is>
      </c>
      <c r="B2" t="inlineStr">
        <is>
          <t>03:16:02</t>
        </is>
      </c>
      <c r="C2" t="inlineStr">
        <is>
          <t>Senior React Developer</t>
        </is>
      </c>
      <c r="D2" t="inlineStr">
        <is>
          <t>Google</t>
        </is>
      </c>
      <c r="E2" t="inlineStr">
        <is>
          <t>LinkedIn</t>
        </is>
      </c>
      <c r="F2" t="inlineStr">
        <is>
          <t>Remote</t>
        </is>
      </c>
      <c r="G2" t="inlineStr">
        <is>
          <t>frontend.pdf</t>
        </is>
      </c>
      <c r="H2" t="n">
        <v>92</v>
      </c>
      <c r="I2" t="inlineStr">
        <is>
          <t>89%</t>
        </is>
      </c>
      <c r="J2" s="6" t="inlineStr">
        <is>
          <t>Success</t>
        </is>
      </c>
      <c r="K2" t="inlineStr">
        <is>
          <t>https://linkedin.com/jobs/123456</t>
        </is>
      </c>
    </row>
    <row r="3">
      <c r="A3" t="inlineStr">
        <is>
          <t>2025-12-12</t>
        </is>
      </c>
      <c r="B3" t="inlineStr">
        <is>
          <t>03:16:02</t>
        </is>
      </c>
      <c r="C3" t="inlineStr">
        <is>
          <t>Backend Engineer</t>
        </is>
      </c>
      <c r="D3" t="inlineStr">
        <is>
          <t>Microsoft</t>
        </is>
      </c>
      <c r="E3" t="inlineStr">
        <is>
          <t>Indeed</t>
        </is>
      </c>
      <c r="F3" t="inlineStr">
        <is>
          <t>Bangalore</t>
        </is>
      </c>
      <c r="G3" t="inlineStr">
        <is>
          <t>backend.pdf</t>
        </is>
      </c>
      <c r="H3" t="n">
        <v>85</v>
      </c>
      <c r="I3" t="inlineStr">
        <is>
          <t>82%</t>
        </is>
      </c>
      <c r="J3" s="6" t="inlineStr">
        <is>
          <t>Success</t>
        </is>
      </c>
    </row>
    <row r="4">
      <c r="A4" t="inlineStr">
        <is>
          <t>2025-12-12</t>
        </is>
      </c>
      <c r="B4" t="inlineStr">
        <is>
          <t>03:16:02</t>
        </is>
      </c>
      <c r="C4" t="inlineStr">
        <is>
          <t>Full Stack Developer</t>
        </is>
      </c>
      <c r="D4" t="inlineStr">
        <is>
          <t>Startup XYZ</t>
        </is>
      </c>
      <c r="E4" t="inlineStr">
        <is>
          <t>Wellfound</t>
        </is>
      </c>
      <c r="F4" t="inlineStr">
        <is>
          <t>Not specified</t>
        </is>
      </c>
      <c r="G4" t="inlineStr">
        <is>
          <t>fullstack.pdf</t>
        </is>
      </c>
      <c r="H4" t="n">
        <v>78</v>
      </c>
      <c r="I4" t="inlineStr">
        <is>
          <t>75%</t>
        </is>
      </c>
      <c r="J4" s="7" t="inlineStr">
        <is>
          <t>Failed</t>
        </is>
      </c>
      <c r="L4" t="inlineStr">
        <is>
          <t>Form submission timeout</t>
        </is>
      </c>
    </row>
    <row r="5">
      <c r="A5" t="inlineStr">
        <is>
          <t>2025-12-12</t>
        </is>
      </c>
      <c r="B5" t="inlineStr">
        <is>
          <t>03:18:15</t>
        </is>
      </c>
      <c r="C5" t="inlineStr">
        <is>
          <t>Senior React Developer</t>
        </is>
      </c>
      <c r="D5" t="inlineStr">
        <is>
          <t>Google</t>
        </is>
      </c>
      <c r="E5" t="inlineStr">
        <is>
          <t>LinkedIn</t>
        </is>
      </c>
      <c r="F5" t="inlineStr">
        <is>
          <t>Remote</t>
        </is>
      </c>
      <c r="G5" t="inlineStr">
        <is>
          <t>frontend.pdf</t>
        </is>
      </c>
      <c r="H5" t="n">
        <v>92</v>
      </c>
      <c r="I5" t="inlineStr">
        <is>
          <t>89%</t>
        </is>
      </c>
      <c r="J5" s="6" t="inlineStr">
        <is>
          <t>Success</t>
        </is>
      </c>
      <c r="K5" t="inlineStr">
        <is>
          <t>https://linkedin.com/jobs/123456</t>
        </is>
      </c>
      <c r="L5" t="inlineStr"/>
    </row>
    <row r="6">
      <c r="A6" t="inlineStr">
        <is>
          <t>2025-12-12</t>
        </is>
      </c>
      <c r="B6" t="inlineStr">
        <is>
          <t>03:18:15</t>
        </is>
      </c>
      <c r="C6" t="inlineStr">
        <is>
          <t>Backend Engineer</t>
        </is>
      </c>
      <c r="D6" t="inlineStr">
        <is>
          <t>Microsoft</t>
        </is>
      </c>
      <c r="E6" t="inlineStr">
        <is>
          <t>Indeed</t>
        </is>
      </c>
      <c r="F6" t="inlineStr">
        <is>
          <t>Bangalore</t>
        </is>
      </c>
      <c r="G6" t="inlineStr">
        <is>
          <t>backend.pdf</t>
        </is>
      </c>
      <c r="H6" t="n">
        <v>85</v>
      </c>
      <c r="I6" t="inlineStr">
        <is>
          <t>82%</t>
        </is>
      </c>
      <c r="J6" s="6" t="inlineStr">
        <is>
          <t>Success</t>
        </is>
      </c>
      <c r="K6" t="inlineStr"/>
      <c r="L6" t="inlineStr"/>
    </row>
    <row r="7">
      <c r="A7" t="inlineStr">
        <is>
          <t>2025-12-12</t>
        </is>
      </c>
      <c r="B7" t="inlineStr">
        <is>
          <t>03:18:15</t>
        </is>
      </c>
      <c r="C7" t="inlineStr">
        <is>
          <t>Full Stack Developer</t>
        </is>
      </c>
      <c r="D7" t="inlineStr">
        <is>
          <t>Startup XYZ</t>
        </is>
      </c>
      <c r="E7" t="inlineStr">
        <is>
          <t>Wellfound</t>
        </is>
      </c>
      <c r="F7" t="inlineStr">
        <is>
          <t>Not specified</t>
        </is>
      </c>
      <c r="G7" t="inlineStr">
        <is>
          <t>fullstack.pdf</t>
        </is>
      </c>
      <c r="H7" t="n">
        <v>78</v>
      </c>
      <c r="I7" t="inlineStr">
        <is>
          <t>75%</t>
        </is>
      </c>
      <c r="J7" s="7" t="inlineStr">
        <is>
          <t>Failed</t>
        </is>
      </c>
      <c r="K7" t="inlineStr"/>
      <c r="L7" t="inlineStr">
        <is>
          <t>Form submission 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" customWidth="1" min="2" max="2"/>
  </cols>
  <sheetData>
    <row r="1">
      <c r="A1" s="2" t="inlineStr"/>
    </row>
    <row r="2">
      <c r="A2" s="3" t="inlineStr">
        <is>
          <t>Total Applications</t>
        </is>
      </c>
      <c r="B2">
        <f>COUNTA(Applications!A:A)-1</f>
        <v/>
      </c>
    </row>
    <row r="3">
      <c r="A3" t="inlineStr">
        <is>
          <t>Successful</t>
        </is>
      </c>
      <c r="B3">
        <f>COUNTIF(Applications!J:J,"Success")</f>
        <v/>
      </c>
    </row>
    <row r="4">
      <c r="A4" t="inlineStr">
        <is>
          <t>Failed</t>
        </is>
      </c>
      <c r="B4">
        <f>COUNTIF(Applications!J:J,"Failed")</f>
        <v/>
      </c>
    </row>
    <row r="5">
      <c r="A5" t="inlineStr">
        <is>
          <t>Pending</t>
        </is>
      </c>
      <c r="B5">
        <f>COUNTIF(Applications!J:J,"Pending")</f>
        <v/>
      </c>
    </row>
    <row r="6">
      <c r="A6" t="inlineStr">
        <is>
          <t>Success Rate</t>
        </is>
      </c>
      <c r="B6" s="4">
        <f>IF(B3&gt;0,B4/B3,0)</f>
        <v/>
      </c>
    </row>
    <row r="7"/>
    <row r="8">
      <c r="A8" s="3" t="inlineStr">
        <is>
          <t>By Platform:</t>
        </is>
      </c>
    </row>
    <row r="9">
      <c r="A9" t="inlineStr">
        <is>
          <t>LinkedIn</t>
        </is>
      </c>
      <c r="B9">
        <f>COUNTIF(Applications!E:E,"LinkedIn")</f>
        <v/>
      </c>
    </row>
    <row r="10">
      <c r="A10" t="inlineStr">
        <is>
          <t>Indeed</t>
        </is>
      </c>
      <c r="B10">
        <f>COUNTIF(Applications!E:E,"Indeed")</f>
        <v/>
      </c>
    </row>
    <row r="11">
      <c r="A11" t="inlineStr">
        <is>
          <t>Glassdoor</t>
        </is>
      </c>
      <c r="B11">
        <f>COUNTIF(Applications!E:E,"Glassdoor")</f>
        <v/>
      </c>
    </row>
    <row r="12">
      <c r="A12" t="inlineStr">
        <is>
          <t>Other</t>
        </is>
      </c>
      <c r="B12">
        <f>B3-B9-B10-B11</f>
        <v/>
      </c>
    </row>
    <row r="13"/>
    <row r="14">
      <c r="A14" s="3" t="inlineStr">
        <is>
          <t>By Resume: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Date</t>
        </is>
      </c>
      <c r="B1" s="5" t="inlineStr">
        <is>
          <t>Applications</t>
        </is>
      </c>
      <c r="C1" s="5" t="inlineStr">
        <is>
          <t>Success</t>
        </is>
      </c>
      <c r="D1" s="5" t="inlineStr">
        <is>
          <t>Failed</t>
        </is>
      </c>
      <c r="E1" s="5" t="inlineStr">
        <is>
          <t>Success Rate</t>
        </is>
      </c>
    </row>
    <row r="2">
      <c r="A2" t="inlineStr">
        <is>
          <t>2025-12-12</t>
        </is>
      </c>
      <c r="B2" t="n">
        <v>6</v>
      </c>
      <c r="C2" t="n">
        <v>4</v>
      </c>
      <c r="D2" t="n">
        <v>2</v>
      </c>
      <c r="E2" t="inlineStr">
        <is>
          <t>66.7%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2025-12-11T21:46:02Z</dcterms:created>
  <dcterms:modified xsi:type="dcterms:W3CDTF">2025-12-11T21:48:15Z</dcterms:modified>
</cp:coreProperties>
</file>